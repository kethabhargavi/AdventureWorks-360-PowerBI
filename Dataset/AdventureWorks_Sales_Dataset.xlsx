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<sst xmlns="http://schemas.openxmlformats.org/spreadsheetml/2006/main" count="474" uniqueCount="176">
  <si>
    <t xml:space="preserve">OrderID</t>
  </si>
  <si>
    <t xml:space="preserve">OrderDate</t>
  </si>
  <si>
    <t xml:space="preserve">CustomerName</t>
  </si>
  <si>
    <t xml:space="preserve">CustomerEmail</t>
  </si>
  <si>
    <t xml:space="preserve">ProductName</t>
  </si>
  <si>
    <t xml:space="preserve">Category</t>
  </si>
  <si>
    <t xml:space="preserve">SubCategory</t>
  </si>
  <si>
    <t xml:space="preserve">Quantity</t>
  </si>
  <si>
    <t xml:space="preserve">UnitPrice ($)</t>
  </si>
  <si>
    <t xml:space="preserve">UnitCost ($)</t>
  </si>
  <si>
    <t xml:space="preserve">SalesAmount ($)</t>
  </si>
  <si>
    <t xml:space="preserve">TotalCost ($)</t>
  </si>
  <si>
    <t xml:space="preserve">Profit ($)</t>
  </si>
  <si>
    <t xml:space="preserve">Territory</t>
  </si>
  <si>
    <t xml:space="preserve">OrderStatus</t>
  </si>
  <si>
    <t xml:space="preserve">SO-10001</t>
  </si>
  <si>
    <t xml:space="preserve">2024-10-16</t>
  </si>
  <si>
    <t xml:space="preserve">Bob Smith</t>
  </si>
  <si>
    <t xml:space="preserve">bob@email.com</t>
  </si>
  <si>
    <t xml:space="preserve">Mountain Bike</t>
  </si>
  <si>
    <t xml:space="preserve">Bikes</t>
  </si>
  <si>
    <t xml:space="preserve">Mountain Bikes</t>
  </si>
  <si>
    <t xml:space="preserve">Canada</t>
  </si>
  <si>
    <t xml:space="preserve">Delivered</t>
  </si>
  <si>
    <t xml:space="preserve">SO-10002</t>
  </si>
  <si>
    <t xml:space="preserve">2024-11-23</t>
  </si>
  <si>
    <t xml:space="preserve">Liam Jackson</t>
  </si>
  <si>
    <t xml:space="preserve">liam@email.com</t>
  </si>
  <si>
    <t xml:space="preserve">Cycling Shorts</t>
  </si>
  <si>
    <t xml:space="preserve">Clothing</t>
  </si>
  <si>
    <t xml:space="preserve">Shorts</t>
  </si>
  <si>
    <t xml:space="preserve">United States</t>
  </si>
  <si>
    <t xml:space="preserve">Shipped</t>
  </si>
  <si>
    <t xml:space="preserve">SO-10003</t>
  </si>
  <si>
    <t xml:space="preserve">2023-08-12</t>
  </si>
  <si>
    <t xml:space="preserve">David Brown</t>
  </si>
  <si>
    <t xml:space="preserve">david@email.com</t>
  </si>
  <si>
    <t xml:space="preserve">SO-10004</t>
  </si>
  <si>
    <t xml:space="preserve">2024-12-19</t>
  </si>
  <si>
    <t xml:space="preserve">Irene Taylor</t>
  </si>
  <si>
    <t xml:space="preserve">irene@email.com</t>
  </si>
  <si>
    <t xml:space="preserve">Cycling Jersey</t>
  </si>
  <si>
    <t xml:space="preserve">Jerseys</t>
  </si>
  <si>
    <t xml:space="preserve">Australia</t>
  </si>
  <si>
    <t xml:space="preserve">SO-10005</t>
  </si>
  <si>
    <t xml:space="preserve">2023-01-07</t>
  </si>
  <si>
    <t xml:space="preserve">Carol White</t>
  </si>
  <si>
    <t xml:space="preserve">carol@email.com</t>
  </si>
  <si>
    <t xml:space="preserve">Returned</t>
  </si>
  <si>
    <t xml:space="preserve">SO-10006</t>
  </si>
  <si>
    <t xml:space="preserve">2023-12-11</t>
  </si>
  <si>
    <t xml:space="preserve">Road Bike</t>
  </si>
  <si>
    <t xml:space="preserve">Road Bikes</t>
  </si>
  <si>
    <t xml:space="preserve">SO-10007</t>
  </si>
  <si>
    <t xml:space="preserve">2023-02-14</t>
  </si>
  <si>
    <t xml:space="preserve">Bike Lock</t>
  </si>
  <si>
    <t xml:space="preserve">Accessories</t>
  </si>
  <si>
    <t xml:space="preserve">Locks</t>
  </si>
  <si>
    <t xml:space="preserve">United Kingdom</t>
  </si>
  <si>
    <t xml:space="preserve">SO-10008</t>
  </si>
  <si>
    <t xml:space="preserve">2023-10-28</t>
  </si>
  <si>
    <t xml:space="preserve">Karen Thomas</t>
  </si>
  <si>
    <t xml:space="preserve">karen@email.com</t>
  </si>
  <si>
    <t xml:space="preserve">Bike Pump</t>
  </si>
  <si>
    <t xml:space="preserve">Pumps</t>
  </si>
  <si>
    <t xml:space="preserve">France</t>
  </si>
  <si>
    <t xml:space="preserve">SO-10009</t>
  </si>
  <si>
    <t xml:space="preserve">2024-11-08</t>
  </si>
  <si>
    <t xml:space="preserve">Water Bottle</t>
  </si>
  <si>
    <t xml:space="preserve">Bottles</t>
  </si>
  <si>
    <t xml:space="preserve">SO-10010</t>
  </si>
  <si>
    <t xml:space="preserve">2024-04-09</t>
  </si>
  <si>
    <t xml:space="preserve">Bike Gloves</t>
  </si>
  <si>
    <t xml:space="preserve">Gloves</t>
  </si>
  <si>
    <t xml:space="preserve">SO-10011</t>
  </si>
  <si>
    <t xml:space="preserve">Germany</t>
  </si>
  <si>
    <t xml:space="preserve">SO-10012</t>
  </si>
  <si>
    <t xml:space="preserve">2023-06-17</t>
  </si>
  <si>
    <t xml:space="preserve">Henry Moore</t>
  </si>
  <si>
    <t xml:space="preserve">henry@email.com</t>
  </si>
  <si>
    <t xml:space="preserve">SO-10013</t>
  </si>
  <si>
    <t xml:space="preserve">2023-08-13</t>
  </si>
  <si>
    <t xml:space="preserve">SO-10014</t>
  </si>
  <si>
    <t xml:space="preserve">2024-02-15</t>
  </si>
  <si>
    <t xml:space="preserve">Emma Davis</t>
  </si>
  <si>
    <t xml:space="preserve">emma@email.com</t>
  </si>
  <si>
    <t xml:space="preserve">Processing</t>
  </si>
  <si>
    <t xml:space="preserve">SO-10015</t>
  </si>
  <si>
    <t xml:space="preserve">2023-11-19</t>
  </si>
  <si>
    <t xml:space="preserve">SO-10016</t>
  </si>
  <si>
    <t xml:space="preserve">2023-09-29</t>
  </si>
  <si>
    <t xml:space="preserve">Bike Helmet</t>
  </si>
  <si>
    <t xml:space="preserve">Helmets</t>
  </si>
  <si>
    <t xml:space="preserve">SO-10017</t>
  </si>
  <si>
    <t xml:space="preserve">2024-08-20</t>
  </si>
  <si>
    <t xml:space="preserve">Grace Wilson</t>
  </si>
  <si>
    <t xml:space="preserve">grace@email.com</t>
  </si>
  <si>
    <t xml:space="preserve">SO-10018</t>
  </si>
  <si>
    <t xml:space="preserve">2023-04-04</t>
  </si>
  <si>
    <t xml:space="preserve">Alice Johnson</t>
  </si>
  <si>
    <t xml:space="preserve">alice@email.com</t>
  </si>
  <si>
    <t xml:space="preserve">SO-10019</t>
  </si>
  <si>
    <t xml:space="preserve">2023-03-07</t>
  </si>
  <si>
    <t xml:space="preserve">SO-10020</t>
  </si>
  <si>
    <t xml:space="preserve">2024-07-20</t>
  </si>
  <si>
    <t xml:space="preserve">SO-10021</t>
  </si>
  <si>
    <t xml:space="preserve">Touring Bike</t>
  </si>
  <si>
    <t xml:space="preserve">Touring Bikes</t>
  </si>
  <si>
    <t xml:space="preserve">SO-10022</t>
  </si>
  <si>
    <t xml:space="preserve">2023-09-27</t>
  </si>
  <si>
    <t xml:space="preserve">SO-10023</t>
  </si>
  <si>
    <t xml:space="preserve">SO-10024</t>
  </si>
  <si>
    <t xml:space="preserve">2024-06-27</t>
  </si>
  <si>
    <t xml:space="preserve">SO-10025</t>
  </si>
  <si>
    <t xml:space="preserve">2023-11-11</t>
  </si>
  <si>
    <t xml:space="preserve">SO-10026</t>
  </si>
  <si>
    <t xml:space="preserve">2024-05-12</t>
  </si>
  <si>
    <t xml:space="preserve">SO-10027</t>
  </si>
  <si>
    <t xml:space="preserve">2023-06-19</t>
  </si>
  <si>
    <t xml:space="preserve">SO-10028</t>
  </si>
  <si>
    <t xml:space="preserve">2024-12-07</t>
  </si>
  <si>
    <t xml:space="preserve">SO-10029</t>
  </si>
  <si>
    <t xml:space="preserve">2024-06-13</t>
  </si>
  <si>
    <t xml:space="preserve">SO-10030</t>
  </si>
  <si>
    <t xml:space="preserve">2024-07-21</t>
  </si>
  <si>
    <t xml:space="preserve">SO-10031</t>
  </si>
  <si>
    <t xml:space="preserve">2023-08-23</t>
  </si>
  <si>
    <t xml:space="preserve">SO-10032</t>
  </si>
  <si>
    <t xml:space="preserve">SO-10033</t>
  </si>
  <si>
    <t xml:space="preserve">2023-09-06</t>
  </si>
  <si>
    <t xml:space="preserve">SO-10034</t>
  </si>
  <si>
    <t xml:space="preserve">2024-03-09</t>
  </si>
  <si>
    <t xml:space="preserve">SO-10035</t>
  </si>
  <si>
    <t xml:space="preserve">2024-02-17</t>
  </si>
  <si>
    <t xml:space="preserve">SO-10036</t>
  </si>
  <si>
    <t xml:space="preserve">2023-05-24</t>
  </si>
  <si>
    <t xml:space="preserve">SO-10037</t>
  </si>
  <si>
    <t xml:space="preserve">2024-07-17</t>
  </si>
  <si>
    <t xml:space="preserve">SO-10038</t>
  </si>
  <si>
    <t xml:space="preserve">2023-08-31</t>
  </si>
  <si>
    <t xml:space="preserve">SO-10039</t>
  </si>
  <si>
    <t xml:space="preserve">2023-06-18</t>
  </si>
  <si>
    <t xml:space="preserve">SO-10040</t>
  </si>
  <si>
    <t xml:space="preserve">2024-12-14</t>
  </si>
  <si>
    <t xml:space="preserve">SO-10041</t>
  </si>
  <si>
    <t xml:space="preserve">2023-03-01</t>
  </si>
  <si>
    <t xml:space="preserve">James Anderson</t>
  </si>
  <si>
    <t xml:space="preserve">james@email.com</t>
  </si>
  <si>
    <t xml:space="preserve">SO-10042</t>
  </si>
  <si>
    <t xml:space="preserve">2024-05-03</t>
  </si>
  <si>
    <t xml:space="preserve">SO-10043</t>
  </si>
  <si>
    <t xml:space="preserve">2023-07-10</t>
  </si>
  <si>
    <t xml:space="preserve">SO-10044</t>
  </si>
  <si>
    <t xml:space="preserve">2024-08-06</t>
  </si>
  <si>
    <t xml:space="preserve">SO-10045</t>
  </si>
  <si>
    <t xml:space="preserve">SO-10046</t>
  </si>
  <si>
    <t xml:space="preserve">2023-11-18</t>
  </si>
  <si>
    <t xml:space="preserve">SO-10047</t>
  </si>
  <si>
    <t xml:space="preserve">2023-11-20</t>
  </si>
  <si>
    <t xml:space="preserve">SO-10048</t>
  </si>
  <si>
    <t xml:space="preserve">2023-03-17</t>
  </si>
  <si>
    <t xml:space="preserve">SO-10049</t>
  </si>
  <si>
    <t xml:space="preserve">2023-09-08</t>
  </si>
  <si>
    <t xml:space="preserve">Frank Miller</t>
  </si>
  <si>
    <t xml:space="preserve">frank@email.com</t>
  </si>
  <si>
    <t xml:space="preserve">SO-10050</t>
  </si>
  <si>
    <t xml:space="preserve">2024-09-18</t>
  </si>
  <si>
    <t xml:space="preserve">AdventureWorks Sales Dataset — Summary</t>
  </si>
  <si>
    <t xml:space="preserve">Metric</t>
  </si>
  <si>
    <t xml:space="preserve">Value</t>
  </si>
  <si>
    <t xml:space="preserve">Total Records</t>
  </si>
  <si>
    <t xml:space="preserve">Total Sales Amount ($)</t>
  </si>
  <si>
    <t xml:space="preserve">Total Profit ($)</t>
  </si>
  <si>
    <t xml:space="preserve">Average Order Value ($)</t>
  </si>
  <si>
    <t xml:space="preserve">Profit Margin %</t>
  </si>
  <si>
    <t xml:space="preserve">Date Range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</si>
</sst>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General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A73E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73E8"/>
        <bgColor rgb="FF0066CC"/>
      </patternFill>
    </fill>
    <fill>
      <patternFill patternType="solid">
        <fgColor rgb="FFEAF1FB"/>
        <bgColor rgb="FFFFFFFF"/>
      </patternFill>
    </fill>
    <fill>
      <patternFill patternType="solid">
        <fgColor rgb="FFFFFFFF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n">
        <v>3</v>
      </c>
      <c r="I2" s="3" t="n">
        <v>1138.77</v>
      </c>
      <c r="J2" s="3" t="n">
        <v>720</v>
      </c>
      <c r="K2" s="3" t="n">
        <v>3416.32</v>
      </c>
      <c r="L2" s="3" t="n">
        <v>2160</v>
      </c>
      <c r="M2" s="3" t="n">
        <v>1256.32</v>
      </c>
      <c r="N2" s="2" t="s">
        <v>22</v>
      </c>
      <c r="O2" s="2" t="s">
        <v>23</v>
      </c>
    </row>
    <row r="3" customFormat="false" ht="15" hidden="false" customHeight="false" outlineLevel="0" collapsed="false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n">
        <v>1</v>
      </c>
      <c r="I3" s="5" t="n">
        <v>56</v>
      </c>
      <c r="J3" s="5" t="n">
        <v>25</v>
      </c>
      <c r="K3" s="5" t="n">
        <v>56</v>
      </c>
      <c r="L3" s="5" t="n">
        <v>25</v>
      </c>
      <c r="M3" s="5" t="n">
        <v>31</v>
      </c>
      <c r="N3" s="4" t="s">
        <v>31</v>
      </c>
      <c r="O3" s="4" t="s">
        <v>32</v>
      </c>
    </row>
    <row r="4" customFormat="false" ht="15" hidden="false" customHeight="false" outlineLevel="0" collapsed="false">
      <c r="A4" s="2" t="s">
        <v>33</v>
      </c>
      <c r="B4" s="2" t="s">
        <v>34</v>
      </c>
      <c r="C4" s="2" t="s">
        <v>35</v>
      </c>
      <c r="D4" s="2" t="s">
        <v>36</v>
      </c>
      <c r="E4" s="2" t="s">
        <v>28</v>
      </c>
      <c r="F4" s="2" t="s">
        <v>29</v>
      </c>
      <c r="G4" s="2" t="s">
        <v>30</v>
      </c>
      <c r="H4" s="2" t="n">
        <v>5</v>
      </c>
      <c r="I4" s="3" t="n">
        <v>49.79</v>
      </c>
      <c r="J4" s="3" t="n">
        <v>25</v>
      </c>
      <c r="K4" s="3" t="n">
        <v>248.96</v>
      </c>
      <c r="L4" s="3" t="n">
        <v>125</v>
      </c>
      <c r="M4" s="3" t="n">
        <v>123.96</v>
      </c>
      <c r="N4" s="2" t="s">
        <v>22</v>
      </c>
      <c r="O4" s="2" t="s">
        <v>23</v>
      </c>
    </row>
    <row r="5" customFormat="false" ht="15" hidden="false" customHeight="false" outlineLevel="0" collapsed="false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29</v>
      </c>
      <c r="G5" s="4" t="s">
        <v>42</v>
      </c>
      <c r="H5" s="4" t="n">
        <v>2</v>
      </c>
      <c r="I5" s="5" t="n">
        <v>64.34</v>
      </c>
      <c r="J5" s="5" t="n">
        <v>30</v>
      </c>
      <c r="K5" s="5" t="n">
        <v>128.68</v>
      </c>
      <c r="L5" s="5" t="n">
        <v>60</v>
      </c>
      <c r="M5" s="5" t="n">
        <v>68.68</v>
      </c>
      <c r="N5" s="4" t="s">
        <v>43</v>
      </c>
      <c r="O5" s="4" t="s">
        <v>23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 t="s">
        <v>46</v>
      </c>
      <c r="D6" s="2" t="s">
        <v>47</v>
      </c>
      <c r="E6" s="2" t="s">
        <v>41</v>
      </c>
      <c r="F6" s="2" t="s">
        <v>29</v>
      </c>
      <c r="G6" s="2" t="s">
        <v>42</v>
      </c>
      <c r="H6" s="2" t="n">
        <v>3</v>
      </c>
      <c r="I6" s="3" t="n">
        <v>62.11</v>
      </c>
      <c r="J6" s="3" t="n">
        <v>30</v>
      </c>
      <c r="K6" s="3" t="n">
        <v>186.34</v>
      </c>
      <c r="L6" s="3" t="n">
        <v>90</v>
      </c>
      <c r="M6" s="3" t="n">
        <v>96.34</v>
      </c>
      <c r="N6" s="2" t="s">
        <v>22</v>
      </c>
      <c r="O6" s="2" t="s">
        <v>48</v>
      </c>
    </row>
    <row r="7" customFormat="false" ht="15" hidden="false" customHeight="false" outlineLevel="0" collapsed="false">
      <c r="A7" s="4" t="s">
        <v>49</v>
      </c>
      <c r="B7" s="4" t="s">
        <v>50</v>
      </c>
      <c r="C7" s="4" t="s">
        <v>17</v>
      </c>
      <c r="D7" s="4" t="s">
        <v>18</v>
      </c>
      <c r="E7" s="4" t="s">
        <v>51</v>
      </c>
      <c r="F7" s="4" t="s">
        <v>20</v>
      </c>
      <c r="G7" s="4" t="s">
        <v>52</v>
      </c>
      <c r="H7" s="4" t="n">
        <v>4</v>
      </c>
      <c r="I7" s="5" t="n">
        <v>1379.01</v>
      </c>
      <c r="J7" s="5" t="n">
        <v>900</v>
      </c>
      <c r="K7" s="5" t="n">
        <v>5516.06</v>
      </c>
      <c r="L7" s="5" t="n">
        <v>3600</v>
      </c>
      <c r="M7" s="5" t="n">
        <v>1916.06</v>
      </c>
      <c r="N7" s="4" t="s">
        <v>43</v>
      </c>
      <c r="O7" s="4" t="s">
        <v>23</v>
      </c>
    </row>
    <row r="8" customFormat="false" ht="15" hidden="false" customHeight="false" outlineLevel="0" collapsed="false">
      <c r="A8" s="2" t="s">
        <v>53</v>
      </c>
      <c r="B8" s="2" t="s">
        <v>54</v>
      </c>
      <c r="C8" s="2" t="s">
        <v>26</v>
      </c>
      <c r="D8" s="2" t="s">
        <v>27</v>
      </c>
      <c r="E8" s="2" t="s">
        <v>55</v>
      </c>
      <c r="F8" s="2" t="s">
        <v>56</v>
      </c>
      <c r="G8" s="2" t="s">
        <v>57</v>
      </c>
      <c r="H8" s="2" t="n">
        <v>5</v>
      </c>
      <c r="I8" s="3" t="n">
        <v>32.37</v>
      </c>
      <c r="J8" s="3" t="n">
        <v>15</v>
      </c>
      <c r="K8" s="3" t="n">
        <v>161.87</v>
      </c>
      <c r="L8" s="3" t="n">
        <v>75</v>
      </c>
      <c r="M8" s="3" t="n">
        <v>86.87</v>
      </c>
      <c r="N8" s="2" t="s">
        <v>58</v>
      </c>
      <c r="O8" s="2" t="s">
        <v>32</v>
      </c>
    </row>
    <row r="9" customFormat="false" ht="15" hidden="false" customHeight="false" outlineLevel="0" collapsed="false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56</v>
      </c>
      <c r="G9" s="4" t="s">
        <v>64</v>
      </c>
      <c r="H9" s="4" t="n">
        <v>3</v>
      </c>
      <c r="I9" s="5" t="n">
        <v>40.62</v>
      </c>
      <c r="J9" s="5" t="n">
        <v>18</v>
      </c>
      <c r="K9" s="5" t="n">
        <v>121.86</v>
      </c>
      <c r="L9" s="5" t="n">
        <v>54</v>
      </c>
      <c r="M9" s="5" t="n">
        <v>67.86</v>
      </c>
      <c r="N9" s="4" t="s">
        <v>65</v>
      </c>
      <c r="O9" s="4" t="s">
        <v>32</v>
      </c>
    </row>
    <row r="10" customFormat="false" ht="15" hidden="false" customHeight="false" outlineLevel="0" collapsed="false">
      <c r="A10" s="2" t="s">
        <v>66</v>
      </c>
      <c r="B10" s="2" t="s">
        <v>67</v>
      </c>
      <c r="C10" s="2" t="s">
        <v>35</v>
      </c>
      <c r="D10" s="2" t="s">
        <v>36</v>
      </c>
      <c r="E10" s="2" t="s">
        <v>68</v>
      </c>
      <c r="F10" s="2" t="s">
        <v>56</v>
      </c>
      <c r="G10" s="2" t="s">
        <v>69</v>
      </c>
      <c r="H10" s="2" t="n">
        <v>1</v>
      </c>
      <c r="I10" s="3" t="n">
        <v>12.85</v>
      </c>
      <c r="J10" s="3" t="n">
        <v>5</v>
      </c>
      <c r="K10" s="3" t="n">
        <v>12.85</v>
      </c>
      <c r="L10" s="3" t="n">
        <v>5</v>
      </c>
      <c r="M10" s="3" t="n">
        <v>7.85</v>
      </c>
      <c r="N10" s="2" t="s">
        <v>31</v>
      </c>
      <c r="O10" s="2" t="s">
        <v>32</v>
      </c>
    </row>
    <row r="11" customFormat="false" ht="15" hidden="false" customHeight="false" outlineLevel="0" collapsed="false">
      <c r="A11" s="4" t="s">
        <v>70</v>
      </c>
      <c r="B11" s="4" t="s">
        <v>71</v>
      </c>
      <c r="C11" s="4" t="s">
        <v>61</v>
      </c>
      <c r="D11" s="4" t="s">
        <v>62</v>
      </c>
      <c r="E11" s="4" t="s">
        <v>72</v>
      </c>
      <c r="F11" s="4" t="s">
        <v>29</v>
      </c>
      <c r="G11" s="4" t="s">
        <v>73</v>
      </c>
      <c r="H11" s="4" t="n">
        <v>2</v>
      </c>
      <c r="I11" s="5" t="n">
        <v>27.27</v>
      </c>
      <c r="J11" s="5" t="n">
        <v>12</v>
      </c>
      <c r="K11" s="5" t="n">
        <v>54.55</v>
      </c>
      <c r="L11" s="5" t="n">
        <v>24</v>
      </c>
      <c r="M11" s="5" t="n">
        <v>30.55</v>
      </c>
      <c r="N11" s="4" t="s">
        <v>22</v>
      </c>
      <c r="O11" s="4" t="s">
        <v>23</v>
      </c>
    </row>
    <row r="12" customFormat="false" ht="15" hidden="false" customHeight="false" outlineLevel="0" collapsed="false">
      <c r="A12" s="2" t="s">
        <v>74</v>
      </c>
      <c r="B12" s="2" t="s">
        <v>38</v>
      </c>
      <c r="C12" s="2" t="s">
        <v>61</v>
      </c>
      <c r="D12" s="2" t="s">
        <v>62</v>
      </c>
      <c r="E12" s="2" t="s">
        <v>51</v>
      </c>
      <c r="F12" s="2" t="s">
        <v>20</v>
      </c>
      <c r="G12" s="2" t="s">
        <v>52</v>
      </c>
      <c r="H12" s="2" t="n">
        <v>5</v>
      </c>
      <c r="I12" s="3" t="n">
        <v>1540.49</v>
      </c>
      <c r="J12" s="3" t="n">
        <v>900</v>
      </c>
      <c r="K12" s="3" t="n">
        <v>7702.47</v>
      </c>
      <c r="L12" s="3" t="n">
        <v>4500</v>
      </c>
      <c r="M12" s="3" t="n">
        <v>3202.47</v>
      </c>
      <c r="N12" s="2" t="s">
        <v>75</v>
      </c>
      <c r="O12" s="2" t="s">
        <v>23</v>
      </c>
    </row>
    <row r="13" customFormat="false" ht="15" hidden="false" customHeight="false" outlineLevel="0" collapsed="false">
      <c r="A13" s="4" t="s">
        <v>76</v>
      </c>
      <c r="B13" s="4" t="s">
        <v>77</v>
      </c>
      <c r="C13" s="4" t="s">
        <v>78</v>
      </c>
      <c r="D13" s="4" t="s">
        <v>79</v>
      </c>
      <c r="E13" s="4" t="s">
        <v>41</v>
      </c>
      <c r="F13" s="4" t="s">
        <v>29</v>
      </c>
      <c r="G13" s="4" t="s">
        <v>42</v>
      </c>
      <c r="H13" s="4" t="n">
        <v>3</v>
      </c>
      <c r="I13" s="5" t="n">
        <v>71.36</v>
      </c>
      <c r="J13" s="5" t="n">
        <v>30</v>
      </c>
      <c r="K13" s="5" t="n">
        <v>214.09</v>
      </c>
      <c r="L13" s="5" t="n">
        <v>90</v>
      </c>
      <c r="M13" s="5" t="n">
        <v>124.09</v>
      </c>
      <c r="N13" s="4" t="s">
        <v>65</v>
      </c>
      <c r="O13" s="4" t="s">
        <v>23</v>
      </c>
    </row>
    <row r="14" customFormat="false" ht="15" hidden="false" customHeight="false" outlineLevel="0" collapsed="false">
      <c r="A14" s="2" t="s">
        <v>80</v>
      </c>
      <c r="B14" s="2" t="s">
        <v>81</v>
      </c>
      <c r="C14" s="2" t="s">
        <v>61</v>
      </c>
      <c r="D14" s="2" t="s">
        <v>62</v>
      </c>
      <c r="E14" s="2" t="s">
        <v>72</v>
      </c>
      <c r="F14" s="2" t="s">
        <v>29</v>
      </c>
      <c r="G14" s="2" t="s">
        <v>73</v>
      </c>
      <c r="H14" s="2" t="n">
        <v>1</v>
      </c>
      <c r="I14" s="3" t="n">
        <v>26.48</v>
      </c>
      <c r="J14" s="3" t="n">
        <v>12</v>
      </c>
      <c r="K14" s="3" t="n">
        <v>26.48</v>
      </c>
      <c r="L14" s="3" t="n">
        <v>12</v>
      </c>
      <c r="M14" s="3" t="n">
        <v>14.48</v>
      </c>
      <c r="N14" s="2" t="s">
        <v>31</v>
      </c>
      <c r="O14" s="2" t="s">
        <v>23</v>
      </c>
    </row>
    <row r="15" customFormat="false" ht="15" hidden="false" customHeight="false" outlineLevel="0" collapsed="false">
      <c r="A15" s="4" t="s">
        <v>82</v>
      </c>
      <c r="B15" s="4" t="s">
        <v>83</v>
      </c>
      <c r="C15" s="4" t="s">
        <v>84</v>
      </c>
      <c r="D15" s="4" t="s">
        <v>85</v>
      </c>
      <c r="E15" s="4" t="s">
        <v>51</v>
      </c>
      <c r="F15" s="4" t="s">
        <v>20</v>
      </c>
      <c r="G15" s="4" t="s">
        <v>52</v>
      </c>
      <c r="H15" s="4" t="n">
        <v>2</v>
      </c>
      <c r="I15" s="5" t="n">
        <v>1623.94</v>
      </c>
      <c r="J15" s="5" t="n">
        <v>900</v>
      </c>
      <c r="K15" s="5" t="n">
        <v>3247.88</v>
      </c>
      <c r="L15" s="5" t="n">
        <v>1800</v>
      </c>
      <c r="M15" s="5" t="n">
        <v>1447.88</v>
      </c>
      <c r="N15" s="4" t="s">
        <v>75</v>
      </c>
      <c r="O15" s="4" t="s">
        <v>86</v>
      </c>
    </row>
    <row r="16" customFormat="false" ht="15" hidden="false" customHeight="false" outlineLevel="0" collapsed="false">
      <c r="A16" s="2" t="s">
        <v>87</v>
      </c>
      <c r="B16" s="2" t="s">
        <v>88</v>
      </c>
      <c r="C16" s="2" t="s">
        <v>35</v>
      </c>
      <c r="D16" s="2" t="s">
        <v>36</v>
      </c>
      <c r="E16" s="2" t="s">
        <v>55</v>
      </c>
      <c r="F16" s="2" t="s">
        <v>56</v>
      </c>
      <c r="G16" s="2" t="s">
        <v>57</v>
      </c>
      <c r="H16" s="2" t="n">
        <v>4</v>
      </c>
      <c r="I16" s="3" t="n">
        <v>37.69</v>
      </c>
      <c r="J16" s="3" t="n">
        <v>15</v>
      </c>
      <c r="K16" s="3" t="n">
        <v>150.77</v>
      </c>
      <c r="L16" s="3" t="n">
        <v>60</v>
      </c>
      <c r="M16" s="3" t="n">
        <v>90.77</v>
      </c>
      <c r="N16" s="2" t="s">
        <v>65</v>
      </c>
      <c r="O16" s="2" t="s">
        <v>23</v>
      </c>
    </row>
    <row r="17" customFormat="false" ht="15" hidden="false" customHeight="false" outlineLevel="0" collapsed="false">
      <c r="A17" s="4" t="s">
        <v>89</v>
      </c>
      <c r="B17" s="4" t="s">
        <v>90</v>
      </c>
      <c r="C17" s="4" t="s">
        <v>46</v>
      </c>
      <c r="D17" s="4" t="s">
        <v>47</v>
      </c>
      <c r="E17" s="4" t="s">
        <v>91</v>
      </c>
      <c r="F17" s="4" t="s">
        <v>56</v>
      </c>
      <c r="G17" s="4" t="s">
        <v>92</v>
      </c>
      <c r="H17" s="4" t="n">
        <v>5</v>
      </c>
      <c r="I17" s="5" t="n">
        <v>45.35</v>
      </c>
      <c r="J17" s="5" t="n">
        <v>20</v>
      </c>
      <c r="K17" s="5" t="n">
        <v>226.75</v>
      </c>
      <c r="L17" s="5" t="n">
        <v>100</v>
      </c>
      <c r="M17" s="5" t="n">
        <v>126.75</v>
      </c>
      <c r="N17" s="4" t="s">
        <v>65</v>
      </c>
      <c r="O17" s="4" t="s">
        <v>23</v>
      </c>
    </row>
    <row r="18" customFormat="false" ht="15" hidden="false" customHeight="false" outlineLevel="0" collapsed="false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72</v>
      </c>
      <c r="F18" s="2" t="s">
        <v>29</v>
      </c>
      <c r="G18" s="2" t="s">
        <v>73</v>
      </c>
      <c r="H18" s="2" t="n">
        <v>2</v>
      </c>
      <c r="I18" s="3" t="n">
        <v>30.79</v>
      </c>
      <c r="J18" s="3" t="n">
        <v>12</v>
      </c>
      <c r="K18" s="3" t="n">
        <v>61.57</v>
      </c>
      <c r="L18" s="3" t="n">
        <v>24</v>
      </c>
      <c r="M18" s="3" t="n">
        <v>37.57</v>
      </c>
      <c r="N18" s="2" t="s">
        <v>22</v>
      </c>
      <c r="O18" s="2" t="s">
        <v>23</v>
      </c>
    </row>
    <row r="19" customFormat="false" ht="15" hidden="false" customHeight="false" outlineLevel="0" collapsed="false">
      <c r="A19" s="4" t="s">
        <v>97</v>
      </c>
      <c r="B19" s="4" t="s">
        <v>98</v>
      </c>
      <c r="C19" s="4" t="s">
        <v>99</v>
      </c>
      <c r="D19" s="4" t="s">
        <v>100</v>
      </c>
      <c r="E19" s="4" t="s">
        <v>51</v>
      </c>
      <c r="F19" s="4" t="s">
        <v>20</v>
      </c>
      <c r="G19" s="4" t="s">
        <v>52</v>
      </c>
      <c r="H19" s="4" t="n">
        <v>2</v>
      </c>
      <c r="I19" s="5" t="n">
        <v>1538.23</v>
      </c>
      <c r="J19" s="5" t="n">
        <v>900</v>
      </c>
      <c r="K19" s="5" t="n">
        <v>3076.47</v>
      </c>
      <c r="L19" s="5" t="n">
        <v>1800</v>
      </c>
      <c r="M19" s="5" t="n">
        <v>1276.47</v>
      </c>
      <c r="N19" s="4" t="s">
        <v>65</v>
      </c>
      <c r="O19" s="4" t="s">
        <v>23</v>
      </c>
    </row>
    <row r="20" customFormat="false" ht="15" hidden="false" customHeight="false" outlineLevel="0" collapsed="false">
      <c r="A20" s="2" t="s">
        <v>101</v>
      </c>
      <c r="B20" s="2" t="s">
        <v>102</v>
      </c>
      <c r="C20" s="2" t="s">
        <v>95</v>
      </c>
      <c r="D20" s="2" t="s">
        <v>96</v>
      </c>
      <c r="E20" s="2" t="s">
        <v>41</v>
      </c>
      <c r="F20" s="2" t="s">
        <v>29</v>
      </c>
      <c r="G20" s="2" t="s">
        <v>42</v>
      </c>
      <c r="H20" s="2" t="n">
        <v>5</v>
      </c>
      <c r="I20" s="3" t="n">
        <v>71.45</v>
      </c>
      <c r="J20" s="3" t="n">
        <v>30</v>
      </c>
      <c r="K20" s="3" t="n">
        <v>357.25</v>
      </c>
      <c r="L20" s="3" t="n">
        <v>150</v>
      </c>
      <c r="M20" s="3" t="n">
        <v>207.25</v>
      </c>
      <c r="N20" s="2" t="s">
        <v>75</v>
      </c>
      <c r="O20" s="2" t="s">
        <v>32</v>
      </c>
    </row>
    <row r="21" customFormat="false" ht="15" hidden="false" customHeight="false" outlineLevel="0" collapsed="false">
      <c r="A21" s="4" t="s">
        <v>103</v>
      </c>
      <c r="B21" s="4" t="s">
        <v>104</v>
      </c>
      <c r="C21" s="4" t="s">
        <v>99</v>
      </c>
      <c r="D21" s="4" t="s">
        <v>100</v>
      </c>
      <c r="E21" s="4" t="s">
        <v>51</v>
      </c>
      <c r="F21" s="4" t="s">
        <v>20</v>
      </c>
      <c r="G21" s="4" t="s">
        <v>52</v>
      </c>
      <c r="H21" s="4" t="n">
        <v>5</v>
      </c>
      <c r="I21" s="5" t="n">
        <v>1575.26</v>
      </c>
      <c r="J21" s="5" t="n">
        <v>900</v>
      </c>
      <c r="K21" s="5" t="n">
        <v>7876.32</v>
      </c>
      <c r="L21" s="5" t="n">
        <v>4500</v>
      </c>
      <c r="M21" s="5" t="n">
        <v>3376.32</v>
      </c>
      <c r="N21" s="4" t="s">
        <v>65</v>
      </c>
      <c r="O21" s="4" t="s">
        <v>32</v>
      </c>
    </row>
    <row r="22" customFormat="false" ht="15" hidden="false" customHeight="false" outlineLevel="0" collapsed="false">
      <c r="A22" s="2" t="s">
        <v>105</v>
      </c>
      <c r="B22" s="2" t="s">
        <v>60</v>
      </c>
      <c r="C22" s="2" t="s">
        <v>95</v>
      </c>
      <c r="D22" s="2" t="s">
        <v>96</v>
      </c>
      <c r="E22" s="2" t="s">
        <v>106</v>
      </c>
      <c r="F22" s="2" t="s">
        <v>20</v>
      </c>
      <c r="G22" s="2" t="s">
        <v>107</v>
      </c>
      <c r="H22" s="2" t="n">
        <v>4</v>
      </c>
      <c r="I22" s="3" t="n">
        <v>1621.17</v>
      </c>
      <c r="J22" s="3" t="n">
        <v>1080</v>
      </c>
      <c r="K22" s="3" t="n">
        <v>6484.67</v>
      </c>
      <c r="L22" s="3" t="n">
        <v>4320</v>
      </c>
      <c r="M22" s="3" t="n">
        <v>2164.67</v>
      </c>
      <c r="N22" s="2" t="s">
        <v>65</v>
      </c>
      <c r="O22" s="2" t="s">
        <v>86</v>
      </c>
    </row>
    <row r="23" customFormat="false" ht="15" hidden="false" customHeight="false" outlineLevel="0" collapsed="false">
      <c r="A23" s="4" t="s">
        <v>108</v>
      </c>
      <c r="B23" s="4" t="s">
        <v>109</v>
      </c>
      <c r="C23" s="4" t="s">
        <v>39</v>
      </c>
      <c r="D23" s="4" t="s">
        <v>40</v>
      </c>
      <c r="E23" s="4" t="s">
        <v>106</v>
      </c>
      <c r="F23" s="4" t="s">
        <v>20</v>
      </c>
      <c r="G23" s="4" t="s">
        <v>107</v>
      </c>
      <c r="H23" s="4" t="n">
        <v>5</v>
      </c>
      <c r="I23" s="5" t="n">
        <v>1948.55</v>
      </c>
      <c r="J23" s="5" t="n">
        <v>1080</v>
      </c>
      <c r="K23" s="5" t="n">
        <v>9742.73</v>
      </c>
      <c r="L23" s="5" t="n">
        <v>5400</v>
      </c>
      <c r="M23" s="5" t="n">
        <v>4342.73</v>
      </c>
      <c r="N23" s="4" t="s">
        <v>65</v>
      </c>
      <c r="O23" s="4" t="s">
        <v>32</v>
      </c>
    </row>
    <row r="24" customFormat="false" ht="15" hidden="false" customHeight="false" outlineLevel="0" collapsed="false">
      <c r="A24" s="2" t="s">
        <v>110</v>
      </c>
      <c r="B24" s="2" t="s">
        <v>16</v>
      </c>
      <c r="C24" s="2" t="s">
        <v>39</v>
      </c>
      <c r="D24" s="2" t="s">
        <v>40</v>
      </c>
      <c r="E24" s="2" t="s">
        <v>63</v>
      </c>
      <c r="F24" s="2" t="s">
        <v>56</v>
      </c>
      <c r="G24" s="2" t="s">
        <v>64</v>
      </c>
      <c r="H24" s="2" t="n">
        <v>2</v>
      </c>
      <c r="I24" s="3" t="n">
        <v>37.22</v>
      </c>
      <c r="J24" s="3" t="n">
        <v>18</v>
      </c>
      <c r="K24" s="3" t="n">
        <v>74.45</v>
      </c>
      <c r="L24" s="3" t="n">
        <v>36</v>
      </c>
      <c r="M24" s="3" t="n">
        <v>38.45</v>
      </c>
      <c r="N24" s="2" t="s">
        <v>22</v>
      </c>
      <c r="O24" s="2" t="s">
        <v>23</v>
      </c>
    </row>
    <row r="25" customFormat="false" ht="15" hidden="false" customHeight="false" outlineLevel="0" collapsed="false">
      <c r="A25" s="4" t="s">
        <v>111</v>
      </c>
      <c r="B25" s="4" t="s">
        <v>112</v>
      </c>
      <c r="C25" s="4" t="s">
        <v>99</v>
      </c>
      <c r="D25" s="4" t="s">
        <v>100</v>
      </c>
      <c r="E25" s="4" t="s">
        <v>63</v>
      </c>
      <c r="F25" s="4" t="s">
        <v>56</v>
      </c>
      <c r="G25" s="4" t="s">
        <v>64</v>
      </c>
      <c r="H25" s="4" t="n">
        <v>3</v>
      </c>
      <c r="I25" s="5" t="n">
        <v>39.91</v>
      </c>
      <c r="J25" s="5" t="n">
        <v>18</v>
      </c>
      <c r="K25" s="5" t="n">
        <v>119.73</v>
      </c>
      <c r="L25" s="5" t="n">
        <v>54</v>
      </c>
      <c r="M25" s="5" t="n">
        <v>65.73</v>
      </c>
      <c r="N25" s="4" t="s">
        <v>31</v>
      </c>
      <c r="O25" s="4" t="s">
        <v>86</v>
      </c>
    </row>
    <row r="26" customFormat="false" ht="15" hidden="false" customHeight="false" outlineLevel="0" collapsed="false">
      <c r="A26" s="2" t="s">
        <v>113</v>
      </c>
      <c r="B26" s="2" t="s">
        <v>114</v>
      </c>
      <c r="C26" s="2" t="s">
        <v>35</v>
      </c>
      <c r="D26" s="2" t="s">
        <v>36</v>
      </c>
      <c r="E26" s="2" t="s">
        <v>19</v>
      </c>
      <c r="F26" s="2" t="s">
        <v>20</v>
      </c>
      <c r="G26" s="2" t="s">
        <v>21</v>
      </c>
      <c r="H26" s="2" t="n">
        <v>2</v>
      </c>
      <c r="I26" s="3" t="n">
        <v>1290.72</v>
      </c>
      <c r="J26" s="3" t="n">
        <v>720</v>
      </c>
      <c r="K26" s="3" t="n">
        <v>2581.44</v>
      </c>
      <c r="L26" s="3" t="n">
        <v>1440</v>
      </c>
      <c r="M26" s="3" t="n">
        <v>1141.44</v>
      </c>
      <c r="N26" s="2" t="s">
        <v>31</v>
      </c>
      <c r="O26" s="2" t="s">
        <v>32</v>
      </c>
    </row>
    <row r="27" customFormat="false" ht="15" hidden="false" customHeight="false" outlineLevel="0" collapsed="false">
      <c r="A27" s="4" t="s">
        <v>115</v>
      </c>
      <c r="B27" s="4" t="s">
        <v>116</v>
      </c>
      <c r="C27" s="4" t="s">
        <v>17</v>
      </c>
      <c r="D27" s="4" t="s">
        <v>18</v>
      </c>
      <c r="E27" s="4" t="s">
        <v>28</v>
      </c>
      <c r="F27" s="4" t="s">
        <v>29</v>
      </c>
      <c r="G27" s="4" t="s">
        <v>30</v>
      </c>
      <c r="H27" s="4" t="n">
        <v>2</v>
      </c>
      <c r="I27" s="5" t="n">
        <v>50.91</v>
      </c>
      <c r="J27" s="5" t="n">
        <v>25</v>
      </c>
      <c r="K27" s="5" t="n">
        <v>101.82</v>
      </c>
      <c r="L27" s="5" t="n">
        <v>50</v>
      </c>
      <c r="M27" s="5" t="n">
        <v>51.82</v>
      </c>
      <c r="N27" s="4" t="s">
        <v>58</v>
      </c>
      <c r="O27" s="4" t="s">
        <v>86</v>
      </c>
    </row>
    <row r="28" customFormat="false" ht="15" hidden="false" customHeight="false" outlineLevel="0" collapsed="false">
      <c r="A28" s="2" t="s">
        <v>117</v>
      </c>
      <c r="B28" s="2" t="s">
        <v>118</v>
      </c>
      <c r="C28" s="2" t="s">
        <v>84</v>
      </c>
      <c r="D28" s="2" t="s">
        <v>85</v>
      </c>
      <c r="E28" s="2" t="s">
        <v>28</v>
      </c>
      <c r="F28" s="2" t="s">
        <v>29</v>
      </c>
      <c r="G28" s="2" t="s">
        <v>30</v>
      </c>
      <c r="H28" s="2" t="n">
        <v>5</v>
      </c>
      <c r="I28" s="3" t="n">
        <v>54.15</v>
      </c>
      <c r="J28" s="3" t="n">
        <v>25</v>
      </c>
      <c r="K28" s="3" t="n">
        <v>270.77</v>
      </c>
      <c r="L28" s="3" t="n">
        <v>125</v>
      </c>
      <c r="M28" s="3" t="n">
        <v>145.77</v>
      </c>
      <c r="N28" s="2" t="s">
        <v>22</v>
      </c>
      <c r="O28" s="2" t="s">
        <v>86</v>
      </c>
    </row>
    <row r="29" customFormat="false" ht="15" hidden="false" customHeight="false" outlineLevel="0" collapsed="false">
      <c r="A29" s="4" t="s">
        <v>119</v>
      </c>
      <c r="B29" s="4" t="s">
        <v>120</v>
      </c>
      <c r="C29" s="4" t="s">
        <v>35</v>
      </c>
      <c r="D29" s="4" t="s">
        <v>36</v>
      </c>
      <c r="E29" s="4" t="s">
        <v>68</v>
      </c>
      <c r="F29" s="4" t="s">
        <v>56</v>
      </c>
      <c r="G29" s="4" t="s">
        <v>69</v>
      </c>
      <c r="H29" s="4" t="n">
        <v>4</v>
      </c>
      <c r="I29" s="5" t="n">
        <v>13.19</v>
      </c>
      <c r="J29" s="5" t="n">
        <v>5</v>
      </c>
      <c r="K29" s="5" t="n">
        <v>52.75</v>
      </c>
      <c r="L29" s="5" t="n">
        <v>20</v>
      </c>
      <c r="M29" s="5" t="n">
        <v>32.75</v>
      </c>
      <c r="N29" s="4" t="s">
        <v>65</v>
      </c>
      <c r="O29" s="4" t="s">
        <v>32</v>
      </c>
    </row>
    <row r="30" customFormat="false" ht="15" hidden="false" customHeight="false" outlineLevel="0" collapsed="false">
      <c r="A30" s="2" t="s">
        <v>121</v>
      </c>
      <c r="B30" s="2" t="s">
        <v>122</v>
      </c>
      <c r="C30" s="2" t="s">
        <v>78</v>
      </c>
      <c r="D30" s="2" t="s">
        <v>79</v>
      </c>
      <c r="E30" s="2" t="s">
        <v>51</v>
      </c>
      <c r="F30" s="2" t="s">
        <v>20</v>
      </c>
      <c r="G30" s="2" t="s">
        <v>52</v>
      </c>
      <c r="H30" s="2" t="n">
        <v>2</v>
      </c>
      <c r="I30" s="3" t="n">
        <v>1417.41</v>
      </c>
      <c r="J30" s="3" t="n">
        <v>900</v>
      </c>
      <c r="K30" s="3" t="n">
        <v>2834.82</v>
      </c>
      <c r="L30" s="3" t="n">
        <v>1800</v>
      </c>
      <c r="M30" s="3" t="n">
        <v>1034.82</v>
      </c>
      <c r="N30" s="2" t="s">
        <v>43</v>
      </c>
      <c r="O30" s="2" t="s">
        <v>32</v>
      </c>
    </row>
    <row r="31" customFormat="false" ht="15" hidden="false" customHeight="false" outlineLevel="0" collapsed="false">
      <c r="A31" s="4" t="s">
        <v>123</v>
      </c>
      <c r="B31" s="4" t="s">
        <v>124</v>
      </c>
      <c r="C31" s="4" t="s">
        <v>35</v>
      </c>
      <c r="D31" s="4" t="s">
        <v>36</v>
      </c>
      <c r="E31" s="4" t="s">
        <v>63</v>
      </c>
      <c r="F31" s="4" t="s">
        <v>56</v>
      </c>
      <c r="G31" s="4" t="s">
        <v>64</v>
      </c>
      <c r="H31" s="4" t="n">
        <v>2</v>
      </c>
      <c r="I31" s="5" t="n">
        <v>36.06</v>
      </c>
      <c r="J31" s="5" t="n">
        <v>18</v>
      </c>
      <c r="K31" s="5" t="n">
        <v>72.12</v>
      </c>
      <c r="L31" s="5" t="n">
        <v>36</v>
      </c>
      <c r="M31" s="5" t="n">
        <v>36.12</v>
      </c>
      <c r="N31" s="4" t="s">
        <v>65</v>
      </c>
      <c r="O31" s="4" t="s">
        <v>23</v>
      </c>
    </row>
    <row r="32" customFormat="false" ht="15" hidden="false" customHeight="false" outlineLevel="0" collapsed="false">
      <c r="A32" s="2" t="s">
        <v>125</v>
      </c>
      <c r="B32" s="2" t="s">
        <v>126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21</v>
      </c>
      <c r="H32" s="2" t="n">
        <v>3</v>
      </c>
      <c r="I32" s="3" t="n">
        <v>1097.01</v>
      </c>
      <c r="J32" s="3" t="n">
        <v>720</v>
      </c>
      <c r="K32" s="3" t="n">
        <v>3291.02</v>
      </c>
      <c r="L32" s="3" t="n">
        <v>2160</v>
      </c>
      <c r="M32" s="3" t="n">
        <v>1131.02</v>
      </c>
      <c r="N32" s="2" t="s">
        <v>22</v>
      </c>
      <c r="O32" s="2" t="s">
        <v>32</v>
      </c>
    </row>
    <row r="33" customFormat="false" ht="15" hidden="false" customHeight="false" outlineLevel="0" collapsed="false">
      <c r="A33" s="4" t="s">
        <v>127</v>
      </c>
      <c r="B33" s="4" t="s">
        <v>116</v>
      </c>
      <c r="C33" s="4" t="s">
        <v>35</v>
      </c>
      <c r="D33" s="4" t="s">
        <v>36</v>
      </c>
      <c r="E33" s="4" t="s">
        <v>28</v>
      </c>
      <c r="F33" s="4" t="s">
        <v>29</v>
      </c>
      <c r="G33" s="4" t="s">
        <v>30</v>
      </c>
      <c r="H33" s="4" t="n">
        <v>2</v>
      </c>
      <c r="I33" s="5" t="n">
        <v>57.46</v>
      </c>
      <c r="J33" s="5" t="n">
        <v>25</v>
      </c>
      <c r="K33" s="5" t="n">
        <v>114.91</v>
      </c>
      <c r="L33" s="5" t="n">
        <v>50</v>
      </c>
      <c r="M33" s="5" t="n">
        <v>64.91</v>
      </c>
      <c r="N33" s="4" t="s">
        <v>75</v>
      </c>
      <c r="O33" s="4" t="s">
        <v>23</v>
      </c>
    </row>
    <row r="34" customFormat="false" ht="15" hidden="false" customHeight="false" outlineLevel="0" collapsed="false">
      <c r="A34" s="2" t="s">
        <v>128</v>
      </c>
      <c r="B34" s="2" t="s">
        <v>129</v>
      </c>
      <c r="C34" s="2" t="s">
        <v>78</v>
      </c>
      <c r="D34" s="2" t="s">
        <v>79</v>
      </c>
      <c r="E34" s="2" t="s">
        <v>41</v>
      </c>
      <c r="F34" s="2" t="s">
        <v>29</v>
      </c>
      <c r="G34" s="2" t="s">
        <v>42</v>
      </c>
      <c r="H34" s="2" t="n">
        <v>2</v>
      </c>
      <c r="I34" s="3" t="n">
        <v>59.73</v>
      </c>
      <c r="J34" s="3" t="n">
        <v>30</v>
      </c>
      <c r="K34" s="3" t="n">
        <v>119.45</v>
      </c>
      <c r="L34" s="3" t="n">
        <v>60</v>
      </c>
      <c r="M34" s="3" t="n">
        <v>59.45</v>
      </c>
      <c r="N34" s="2" t="s">
        <v>65</v>
      </c>
      <c r="O34" s="2" t="s">
        <v>23</v>
      </c>
    </row>
    <row r="35" customFormat="false" ht="15" hidden="false" customHeight="false" outlineLevel="0" collapsed="false">
      <c r="A35" s="4" t="s">
        <v>130</v>
      </c>
      <c r="B35" s="4" t="s">
        <v>131</v>
      </c>
      <c r="C35" s="4" t="s">
        <v>95</v>
      </c>
      <c r="D35" s="4" t="s">
        <v>96</v>
      </c>
      <c r="E35" s="4" t="s">
        <v>55</v>
      </c>
      <c r="F35" s="4" t="s">
        <v>56</v>
      </c>
      <c r="G35" s="4" t="s">
        <v>57</v>
      </c>
      <c r="H35" s="4" t="n">
        <v>1</v>
      </c>
      <c r="I35" s="5" t="n">
        <v>36.21</v>
      </c>
      <c r="J35" s="5" t="n">
        <v>15</v>
      </c>
      <c r="K35" s="5" t="n">
        <v>36.21</v>
      </c>
      <c r="L35" s="5" t="n">
        <v>15</v>
      </c>
      <c r="M35" s="5" t="n">
        <v>21.21</v>
      </c>
      <c r="N35" s="4" t="s">
        <v>65</v>
      </c>
      <c r="O35" s="4" t="s">
        <v>32</v>
      </c>
    </row>
    <row r="36" customFormat="false" ht="15" hidden="false" customHeight="false" outlineLevel="0" collapsed="false">
      <c r="A36" s="2" t="s">
        <v>132</v>
      </c>
      <c r="B36" s="2" t="s">
        <v>133</v>
      </c>
      <c r="C36" s="2" t="s">
        <v>26</v>
      </c>
      <c r="D36" s="2" t="s">
        <v>27</v>
      </c>
      <c r="E36" s="2" t="s">
        <v>72</v>
      </c>
      <c r="F36" s="2" t="s">
        <v>29</v>
      </c>
      <c r="G36" s="2" t="s">
        <v>73</v>
      </c>
      <c r="H36" s="2" t="n">
        <v>1</v>
      </c>
      <c r="I36" s="3" t="n">
        <v>26.59</v>
      </c>
      <c r="J36" s="3" t="n">
        <v>12</v>
      </c>
      <c r="K36" s="3" t="n">
        <v>26.59</v>
      </c>
      <c r="L36" s="3" t="n">
        <v>12</v>
      </c>
      <c r="M36" s="3" t="n">
        <v>14.59</v>
      </c>
      <c r="N36" s="2" t="s">
        <v>22</v>
      </c>
      <c r="O36" s="2" t="s">
        <v>23</v>
      </c>
    </row>
    <row r="37" customFormat="false" ht="15" hidden="false" customHeight="false" outlineLevel="0" collapsed="false">
      <c r="A37" s="4" t="s">
        <v>134</v>
      </c>
      <c r="B37" s="4" t="s">
        <v>135</v>
      </c>
      <c r="C37" s="4" t="s">
        <v>95</v>
      </c>
      <c r="D37" s="4" t="s">
        <v>96</v>
      </c>
      <c r="E37" s="4" t="s">
        <v>106</v>
      </c>
      <c r="F37" s="4" t="s">
        <v>20</v>
      </c>
      <c r="G37" s="4" t="s">
        <v>107</v>
      </c>
      <c r="H37" s="4" t="n">
        <v>3</v>
      </c>
      <c r="I37" s="5" t="n">
        <v>1786.55</v>
      </c>
      <c r="J37" s="5" t="n">
        <v>1080</v>
      </c>
      <c r="K37" s="5" t="n">
        <v>5359.64</v>
      </c>
      <c r="L37" s="5" t="n">
        <v>3240</v>
      </c>
      <c r="M37" s="5" t="n">
        <v>2119.64</v>
      </c>
      <c r="N37" s="4" t="s">
        <v>31</v>
      </c>
      <c r="O37" s="4" t="s">
        <v>23</v>
      </c>
    </row>
    <row r="38" customFormat="false" ht="15" hidden="false" customHeight="false" outlineLevel="0" collapsed="false">
      <c r="A38" s="2" t="s">
        <v>136</v>
      </c>
      <c r="B38" s="2" t="s">
        <v>137</v>
      </c>
      <c r="C38" s="2" t="s">
        <v>17</v>
      </c>
      <c r="D38" s="2" t="s">
        <v>18</v>
      </c>
      <c r="E38" s="2" t="s">
        <v>19</v>
      </c>
      <c r="F38" s="2" t="s">
        <v>20</v>
      </c>
      <c r="G38" s="2" t="s">
        <v>21</v>
      </c>
      <c r="H38" s="2" t="n">
        <v>5</v>
      </c>
      <c r="I38" s="3" t="n">
        <v>1280.65</v>
      </c>
      <c r="J38" s="3" t="n">
        <v>720</v>
      </c>
      <c r="K38" s="3" t="n">
        <v>6403.23</v>
      </c>
      <c r="L38" s="3" t="n">
        <v>3600</v>
      </c>
      <c r="M38" s="3" t="n">
        <v>2803.23</v>
      </c>
      <c r="N38" s="2" t="s">
        <v>31</v>
      </c>
      <c r="O38" s="2" t="s">
        <v>86</v>
      </c>
    </row>
    <row r="39" customFormat="false" ht="15" hidden="false" customHeight="false" outlineLevel="0" collapsed="false">
      <c r="A39" s="4" t="s">
        <v>138</v>
      </c>
      <c r="B39" s="4" t="s">
        <v>139</v>
      </c>
      <c r="C39" s="4" t="s">
        <v>46</v>
      </c>
      <c r="D39" s="4" t="s">
        <v>47</v>
      </c>
      <c r="E39" s="4" t="s">
        <v>41</v>
      </c>
      <c r="F39" s="4" t="s">
        <v>29</v>
      </c>
      <c r="G39" s="4" t="s">
        <v>42</v>
      </c>
      <c r="H39" s="4" t="n">
        <v>4</v>
      </c>
      <c r="I39" s="5" t="n">
        <v>64.76</v>
      </c>
      <c r="J39" s="5" t="n">
        <v>30</v>
      </c>
      <c r="K39" s="5" t="n">
        <v>259.03</v>
      </c>
      <c r="L39" s="5" t="n">
        <v>120</v>
      </c>
      <c r="M39" s="5" t="n">
        <v>139.03</v>
      </c>
      <c r="N39" s="4" t="s">
        <v>58</v>
      </c>
      <c r="O39" s="4" t="s">
        <v>86</v>
      </c>
    </row>
    <row r="40" customFormat="false" ht="15" hidden="false" customHeight="false" outlineLevel="0" collapsed="false">
      <c r="A40" s="2" t="s">
        <v>140</v>
      </c>
      <c r="B40" s="2" t="s">
        <v>141</v>
      </c>
      <c r="C40" s="2" t="s">
        <v>95</v>
      </c>
      <c r="D40" s="2" t="s">
        <v>96</v>
      </c>
      <c r="E40" s="2" t="s">
        <v>19</v>
      </c>
      <c r="F40" s="2" t="s">
        <v>20</v>
      </c>
      <c r="G40" s="2" t="s">
        <v>21</v>
      </c>
      <c r="H40" s="2" t="n">
        <v>4</v>
      </c>
      <c r="I40" s="3" t="n">
        <v>1143.65</v>
      </c>
      <c r="J40" s="3" t="n">
        <v>720</v>
      </c>
      <c r="K40" s="3" t="n">
        <v>4574.59</v>
      </c>
      <c r="L40" s="3" t="n">
        <v>2880</v>
      </c>
      <c r="M40" s="3" t="n">
        <v>1694.59</v>
      </c>
      <c r="N40" s="2" t="s">
        <v>58</v>
      </c>
      <c r="O40" s="2" t="s">
        <v>32</v>
      </c>
    </row>
    <row r="41" customFormat="false" ht="15" hidden="false" customHeight="false" outlineLevel="0" collapsed="false">
      <c r="A41" s="4" t="s">
        <v>142</v>
      </c>
      <c r="B41" s="4" t="s">
        <v>143</v>
      </c>
      <c r="C41" s="4" t="s">
        <v>26</v>
      </c>
      <c r="D41" s="4" t="s">
        <v>27</v>
      </c>
      <c r="E41" s="4" t="s">
        <v>28</v>
      </c>
      <c r="F41" s="4" t="s">
        <v>29</v>
      </c>
      <c r="G41" s="4" t="s">
        <v>30</v>
      </c>
      <c r="H41" s="4" t="n">
        <v>4</v>
      </c>
      <c r="I41" s="5" t="n">
        <v>51.2</v>
      </c>
      <c r="J41" s="5" t="n">
        <v>25</v>
      </c>
      <c r="K41" s="5" t="n">
        <v>204.81</v>
      </c>
      <c r="L41" s="5" t="n">
        <v>100</v>
      </c>
      <c r="M41" s="5" t="n">
        <v>104.81</v>
      </c>
      <c r="N41" s="4" t="s">
        <v>43</v>
      </c>
      <c r="O41" s="4" t="s">
        <v>32</v>
      </c>
    </row>
    <row r="42" customFormat="false" ht="15" hidden="false" customHeight="false" outlineLevel="0" collapsed="false">
      <c r="A42" s="2" t="s">
        <v>144</v>
      </c>
      <c r="B42" s="2" t="s">
        <v>145</v>
      </c>
      <c r="C42" s="2" t="s">
        <v>146</v>
      </c>
      <c r="D42" s="2" t="s">
        <v>147</v>
      </c>
      <c r="E42" s="2" t="s">
        <v>28</v>
      </c>
      <c r="F42" s="2" t="s">
        <v>29</v>
      </c>
      <c r="G42" s="2" t="s">
        <v>30</v>
      </c>
      <c r="H42" s="2" t="n">
        <v>1</v>
      </c>
      <c r="I42" s="3" t="n">
        <v>57.73</v>
      </c>
      <c r="J42" s="3" t="n">
        <v>25</v>
      </c>
      <c r="K42" s="3" t="n">
        <v>57.73</v>
      </c>
      <c r="L42" s="3" t="n">
        <v>25</v>
      </c>
      <c r="M42" s="3" t="n">
        <v>32.73</v>
      </c>
      <c r="N42" s="2" t="s">
        <v>31</v>
      </c>
      <c r="O42" s="2" t="s">
        <v>32</v>
      </c>
    </row>
    <row r="43" customFormat="false" ht="15" hidden="false" customHeight="false" outlineLevel="0" collapsed="false">
      <c r="A43" s="4" t="s">
        <v>148</v>
      </c>
      <c r="B43" s="4" t="s">
        <v>149</v>
      </c>
      <c r="C43" s="4" t="s">
        <v>39</v>
      </c>
      <c r="D43" s="4" t="s">
        <v>40</v>
      </c>
      <c r="E43" s="4" t="s">
        <v>28</v>
      </c>
      <c r="F43" s="4" t="s">
        <v>29</v>
      </c>
      <c r="G43" s="4" t="s">
        <v>30</v>
      </c>
      <c r="H43" s="4" t="n">
        <v>2</v>
      </c>
      <c r="I43" s="5" t="n">
        <v>50.13</v>
      </c>
      <c r="J43" s="5" t="n">
        <v>25</v>
      </c>
      <c r="K43" s="5" t="n">
        <v>100.25</v>
      </c>
      <c r="L43" s="5" t="n">
        <v>50</v>
      </c>
      <c r="M43" s="5" t="n">
        <v>50.25</v>
      </c>
      <c r="N43" s="4" t="s">
        <v>75</v>
      </c>
      <c r="O43" s="4" t="s">
        <v>32</v>
      </c>
    </row>
    <row r="44" customFormat="false" ht="15" hidden="false" customHeight="false" outlineLevel="0" collapsed="false">
      <c r="A44" s="2" t="s">
        <v>150</v>
      </c>
      <c r="B44" s="2" t="s">
        <v>151</v>
      </c>
      <c r="C44" s="2" t="s">
        <v>17</v>
      </c>
      <c r="D44" s="2" t="s">
        <v>18</v>
      </c>
      <c r="E44" s="2" t="s">
        <v>63</v>
      </c>
      <c r="F44" s="2" t="s">
        <v>56</v>
      </c>
      <c r="G44" s="2" t="s">
        <v>64</v>
      </c>
      <c r="H44" s="2" t="n">
        <v>1</v>
      </c>
      <c r="I44" s="3" t="n">
        <v>41.4</v>
      </c>
      <c r="J44" s="3" t="n">
        <v>18</v>
      </c>
      <c r="K44" s="3" t="n">
        <v>41.4</v>
      </c>
      <c r="L44" s="3" t="n">
        <v>18</v>
      </c>
      <c r="M44" s="3" t="n">
        <v>23.4</v>
      </c>
      <c r="N44" s="2" t="s">
        <v>22</v>
      </c>
      <c r="O44" s="2" t="s">
        <v>23</v>
      </c>
    </row>
    <row r="45" customFormat="false" ht="15" hidden="false" customHeight="false" outlineLevel="0" collapsed="false">
      <c r="A45" s="4" t="s">
        <v>152</v>
      </c>
      <c r="B45" s="4" t="s">
        <v>153</v>
      </c>
      <c r="C45" s="4" t="s">
        <v>35</v>
      </c>
      <c r="D45" s="4" t="s">
        <v>36</v>
      </c>
      <c r="E45" s="4" t="s">
        <v>63</v>
      </c>
      <c r="F45" s="4" t="s">
        <v>56</v>
      </c>
      <c r="G45" s="4" t="s">
        <v>64</v>
      </c>
      <c r="H45" s="4" t="n">
        <v>5</v>
      </c>
      <c r="I45" s="5" t="n">
        <v>36.32</v>
      </c>
      <c r="J45" s="5" t="n">
        <v>18</v>
      </c>
      <c r="K45" s="5" t="n">
        <v>181.59</v>
      </c>
      <c r="L45" s="5" t="n">
        <v>90</v>
      </c>
      <c r="M45" s="5" t="n">
        <v>91.59</v>
      </c>
      <c r="N45" s="4" t="s">
        <v>31</v>
      </c>
      <c r="O45" s="4" t="s">
        <v>23</v>
      </c>
    </row>
    <row r="46" customFormat="false" ht="15" hidden="false" customHeight="false" outlineLevel="0" collapsed="false">
      <c r="A46" s="2" t="s">
        <v>154</v>
      </c>
      <c r="B46" s="2" t="s">
        <v>94</v>
      </c>
      <c r="C46" s="2" t="s">
        <v>146</v>
      </c>
      <c r="D46" s="2" t="s">
        <v>147</v>
      </c>
      <c r="E46" s="2" t="s">
        <v>28</v>
      </c>
      <c r="F46" s="2" t="s">
        <v>29</v>
      </c>
      <c r="G46" s="2" t="s">
        <v>30</v>
      </c>
      <c r="H46" s="2" t="n">
        <v>3</v>
      </c>
      <c r="I46" s="3" t="n">
        <v>59.78</v>
      </c>
      <c r="J46" s="3" t="n">
        <v>25</v>
      </c>
      <c r="K46" s="3" t="n">
        <v>179.35</v>
      </c>
      <c r="L46" s="3" t="n">
        <v>75</v>
      </c>
      <c r="M46" s="3" t="n">
        <v>104.35</v>
      </c>
      <c r="N46" s="2" t="s">
        <v>22</v>
      </c>
      <c r="O46" s="2" t="s">
        <v>23</v>
      </c>
    </row>
    <row r="47" customFormat="false" ht="15" hidden="false" customHeight="false" outlineLevel="0" collapsed="false">
      <c r="A47" s="4" t="s">
        <v>155</v>
      </c>
      <c r="B47" s="4" t="s">
        <v>156</v>
      </c>
      <c r="C47" s="4" t="s">
        <v>35</v>
      </c>
      <c r="D47" s="4" t="s">
        <v>36</v>
      </c>
      <c r="E47" s="4" t="s">
        <v>68</v>
      </c>
      <c r="F47" s="4" t="s">
        <v>56</v>
      </c>
      <c r="G47" s="4" t="s">
        <v>69</v>
      </c>
      <c r="H47" s="4" t="n">
        <v>4</v>
      </c>
      <c r="I47" s="5" t="n">
        <v>11.11</v>
      </c>
      <c r="J47" s="5" t="n">
        <v>5</v>
      </c>
      <c r="K47" s="5" t="n">
        <v>44.46</v>
      </c>
      <c r="L47" s="5" t="n">
        <v>20</v>
      </c>
      <c r="M47" s="5" t="n">
        <v>24.46</v>
      </c>
      <c r="N47" s="4" t="s">
        <v>65</v>
      </c>
      <c r="O47" s="4" t="s">
        <v>32</v>
      </c>
    </row>
    <row r="48" customFormat="false" ht="15" hidden="false" customHeight="false" outlineLevel="0" collapsed="false">
      <c r="A48" s="2" t="s">
        <v>157</v>
      </c>
      <c r="B48" s="2" t="s">
        <v>158</v>
      </c>
      <c r="C48" s="2" t="s">
        <v>17</v>
      </c>
      <c r="D48" s="2" t="s">
        <v>18</v>
      </c>
      <c r="E48" s="2" t="s">
        <v>19</v>
      </c>
      <c r="F48" s="2" t="s">
        <v>20</v>
      </c>
      <c r="G48" s="2" t="s">
        <v>21</v>
      </c>
      <c r="H48" s="2" t="n">
        <v>4</v>
      </c>
      <c r="I48" s="3" t="n">
        <v>1229.08</v>
      </c>
      <c r="J48" s="3" t="n">
        <v>720</v>
      </c>
      <c r="K48" s="3" t="n">
        <v>4916.31</v>
      </c>
      <c r="L48" s="3" t="n">
        <v>2880</v>
      </c>
      <c r="M48" s="3" t="n">
        <v>2036.31</v>
      </c>
      <c r="N48" s="2" t="s">
        <v>75</v>
      </c>
      <c r="O48" s="2" t="s">
        <v>48</v>
      </c>
    </row>
    <row r="49" customFormat="false" ht="15" hidden="false" customHeight="false" outlineLevel="0" collapsed="false">
      <c r="A49" s="4" t="s">
        <v>159</v>
      </c>
      <c r="B49" s="4" t="s">
        <v>160</v>
      </c>
      <c r="C49" s="4" t="s">
        <v>39</v>
      </c>
      <c r="D49" s="4" t="s">
        <v>40</v>
      </c>
      <c r="E49" s="4" t="s">
        <v>91</v>
      </c>
      <c r="F49" s="4" t="s">
        <v>56</v>
      </c>
      <c r="G49" s="4" t="s">
        <v>92</v>
      </c>
      <c r="H49" s="4" t="n">
        <v>5</v>
      </c>
      <c r="I49" s="5" t="n">
        <v>42.89</v>
      </c>
      <c r="J49" s="5" t="n">
        <v>20</v>
      </c>
      <c r="K49" s="5" t="n">
        <v>214.43</v>
      </c>
      <c r="L49" s="5" t="n">
        <v>100</v>
      </c>
      <c r="M49" s="5" t="n">
        <v>114.43</v>
      </c>
      <c r="N49" s="4" t="s">
        <v>43</v>
      </c>
      <c r="O49" s="4" t="s">
        <v>86</v>
      </c>
    </row>
    <row r="50" customFormat="false" ht="15" hidden="false" customHeight="false" outlineLevel="0" collapsed="false">
      <c r="A50" s="2" t="s">
        <v>161</v>
      </c>
      <c r="B50" s="2" t="s">
        <v>162</v>
      </c>
      <c r="C50" s="2" t="s">
        <v>163</v>
      </c>
      <c r="D50" s="2" t="s">
        <v>164</v>
      </c>
      <c r="E50" s="2" t="s">
        <v>68</v>
      </c>
      <c r="F50" s="2" t="s">
        <v>56</v>
      </c>
      <c r="G50" s="2" t="s">
        <v>69</v>
      </c>
      <c r="H50" s="2" t="n">
        <v>2</v>
      </c>
      <c r="I50" s="3" t="n">
        <v>11.85</v>
      </c>
      <c r="J50" s="3" t="n">
        <v>5</v>
      </c>
      <c r="K50" s="3" t="n">
        <v>23.7</v>
      </c>
      <c r="L50" s="3" t="n">
        <v>10</v>
      </c>
      <c r="M50" s="3" t="n">
        <v>13.7</v>
      </c>
      <c r="N50" s="2" t="s">
        <v>75</v>
      </c>
      <c r="O50" s="2" t="s">
        <v>23</v>
      </c>
    </row>
    <row r="51" customFormat="false" ht="15" hidden="false" customHeight="false" outlineLevel="0" collapsed="false">
      <c r="A51" s="4" t="s">
        <v>165</v>
      </c>
      <c r="B51" s="4" t="s">
        <v>166</v>
      </c>
      <c r="C51" s="4" t="s">
        <v>61</v>
      </c>
      <c r="D51" s="4" t="s">
        <v>62</v>
      </c>
      <c r="E51" s="4" t="s">
        <v>28</v>
      </c>
      <c r="F51" s="4" t="s">
        <v>29</v>
      </c>
      <c r="G51" s="4" t="s">
        <v>30</v>
      </c>
      <c r="H51" s="4" t="n">
        <v>1</v>
      </c>
      <c r="I51" s="5" t="n">
        <v>56.85</v>
      </c>
      <c r="J51" s="5" t="n">
        <v>25</v>
      </c>
      <c r="K51" s="5" t="n">
        <v>56.85</v>
      </c>
      <c r="L51" s="5" t="n">
        <v>25</v>
      </c>
      <c r="M51" s="5" t="n">
        <v>31.85</v>
      </c>
      <c r="N51" s="4" t="s">
        <v>75</v>
      </c>
      <c r="O51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6" t="s">
        <v>167</v>
      </c>
      <c r="B1" s="6"/>
      <c r="C1" s="6"/>
      <c r="D1" s="6"/>
    </row>
    <row r="3" customFormat="false" ht="15" hidden="false" customHeight="false" outlineLevel="0" collapsed="false">
      <c r="A3" s="7" t="s">
        <v>168</v>
      </c>
      <c r="B3" s="7" t="s">
        <v>169</v>
      </c>
    </row>
    <row r="4" customFormat="false" ht="15" hidden="false" customHeight="false" outlineLevel="0" collapsed="false">
      <c r="A4" s="8" t="s">
        <v>170</v>
      </c>
      <c r="B4" s="9" t="n">
        <f aca="false">COUNTA('Sales Data'!A2:A51)</f>
        <v>50</v>
      </c>
    </row>
    <row r="5" customFormat="false" ht="15" hidden="false" customHeight="false" outlineLevel="0" collapsed="false">
      <c r="A5" s="8" t="s">
        <v>171</v>
      </c>
      <c r="B5" s="10" t="n">
        <f aca="false">SUM('Sales Data'!K2:K51)</f>
        <v>81384.39</v>
      </c>
    </row>
    <row r="6" customFormat="false" ht="15" hidden="false" customHeight="false" outlineLevel="0" collapsed="false">
      <c r="A6" s="8" t="s">
        <v>172</v>
      </c>
      <c r="B6" s="10" t="n">
        <f aca="false">SUM('Sales Data'!M2:M51)</f>
        <v>33319.39</v>
      </c>
    </row>
    <row r="7" customFormat="false" ht="15" hidden="false" customHeight="false" outlineLevel="0" collapsed="false">
      <c r="A7" s="8" t="s">
        <v>173</v>
      </c>
      <c r="B7" s="10" t="n">
        <f aca="false">AVERAGE('Sales Data'!K2:K51)</f>
        <v>1627.6878</v>
      </c>
    </row>
    <row r="8" customFormat="false" ht="15" hidden="false" customHeight="false" outlineLevel="0" collapsed="false">
      <c r="A8" s="8" t="s">
        <v>174</v>
      </c>
      <c r="B8" s="11" t="n">
        <f aca="false">SUM('Sales Data'!M2:M51)/SUM('Sales Data'!K2:K51)</f>
        <v>0.409407627187474</v>
      </c>
    </row>
    <row r="9" customFormat="false" ht="15" hidden="false" customHeight="false" outlineLevel="0" collapsed="false">
      <c r="A9" s="8" t="s">
        <v>175</v>
      </c>
      <c r="B9" s="9" t="str">
        <f aca="false">MIN('Sales Data'!B2:B51)&amp;" to "&amp;MAX('Sales Data'!B2:B51)</f>
        <v>0 to 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2026-06-26T11:24:57Z</dcterms:created>
  <dc:creator>openpyxl</dc:creator>
  <dc:description/>
  <dc:language>en-US</dc:language>
  <cp:lastModifiedBy/>
  <dcterms:modified xsi:type="dcterms:W3CDTF">2026-06-26T11:24:57Z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